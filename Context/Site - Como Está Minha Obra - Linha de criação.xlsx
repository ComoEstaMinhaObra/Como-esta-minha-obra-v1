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d2246a2526b3d6/Engerbras Projetos e Obras Ltda/Projetos e Orçamentos/Site - Acompanhe Seu Projeto/"/>
    </mc:Choice>
  </mc:AlternateContent>
  <xr:revisionPtr revIDLastSave="686" documentId="8_{A8AA2486-D566-4028-A58B-FD56BD9AA1A6}" xr6:coauthVersionLast="47" xr6:coauthVersionMax="47" xr10:uidLastSave="{4C65F0B2-787C-4C2D-B3B9-FDA9EDFEA47B}"/>
  <bookViews>
    <workbookView xWindow="-5595" yWindow="-16320" windowWidth="29040" windowHeight="16440" xr2:uid="{9E49AADF-4BC3-4410-940E-B7923A04CF59}"/>
  </bookViews>
  <sheets>
    <sheet name="Proposta de valor" sheetId="3" r:id="rId1"/>
    <sheet name="Relatório Client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5" i="1" l="1"/>
  <c r="B56" i="1"/>
  <c r="B57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58" i="1"/>
  <c r="B59" i="1"/>
  <c r="D29" i="1"/>
  <c r="B122" i="1"/>
  <c r="C20" i="1" l="1"/>
  <c r="C15" i="1"/>
  <c r="C108" i="1"/>
  <c r="C25" i="1" s="1"/>
  <c r="C94" i="1"/>
  <c r="C24" i="1" s="1"/>
  <c r="C87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C17" i="1"/>
  <c r="C18" i="1" s="1"/>
  <c r="C26" i="1" l="1"/>
  <c r="C85" i="1"/>
  <c r="D85" i="1" s="1"/>
  <c r="C21" i="1"/>
  <c r="D87" i="1" l="1"/>
  <c r="D86" i="1"/>
  <c r="D94" i="1"/>
  <c r="D108" i="1"/>
  <c r="C22" i="1"/>
  <c r="D24" i="1" l="1"/>
  <c r="C27" i="1"/>
  <c r="D27" i="1" s="1"/>
  <c r="D26" i="1"/>
  <c r="D20" i="1"/>
  <c r="D21" i="1"/>
  <c r="D25" i="1"/>
</calcChain>
</file>

<file path=xl/sharedStrings.xml><?xml version="1.0" encoding="utf-8"?>
<sst xmlns="http://schemas.openxmlformats.org/spreadsheetml/2006/main" count="177" uniqueCount="113">
  <si>
    <t>Endereço</t>
  </si>
  <si>
    <t>Foto principal da obra</t>
  </si>
  <si>
    <t>Data de início</t>
  </si>
  <si>
    <t>Data prevista de término</t>
  </si>
  <si>
    <t>Residência de Francisco</t>
  </si>
  <si>
    <t>Rua dos Alfinetes, 50, Ondina, Salvador - BA</t>
  </si>
  <si>
    <t>Arquiteto Responsável</t>
  </si>
  <si>
    <t>Arq. Francisco da Silva</t>
  </si>
  <si>
    <t>Projetista de Instalações</t>
  </si>
  <si>
    <t>Eng. Antonio da Silva</t>
  </si>
  <si>
    <t>Eng. José da Silva</t>
  </si>
  <si>
    <t>Eng Luis Lopes</t>
  </si>
  <si>
    <t>(Foto)</t>
  </si>
  <si>
    <t>Número de dias corridos da obra</t>
  </si>
  <si>
    <t>Número de dias restantes da obra</t>
  </si>
  <si>
    <t>Fundações</t>
  </si>
  <si>
    <t>Estrutura</t>
  </si>
  <si>
    <t>Alvenarias</t>
  </si>
  <si>
    <t>Instalações hidrossanitárias</t>
  </si>
  <si>
    <t>Rebocos e contrapisos</t>
  </si>
  <si>
    <t>Revestimentos de piso</t>
  </si>
  <si>
    <t>Revestimentos de parede</t>
  </si>
  <si>
    <t>Acabamentos de granito</t>
  </si>
  <si>
    <t>Demolições</t>
  </si>
  <si>
    <t>Terraplanagem</t>
  </si>
  <si>
    <t>Montagem do canteiro de obras</t>
  </si>
  <si>
    <t>Esquadrias (janelas)</t>
  </si>
  <si>
    <t>Esquadrias (portas)</t>
  </si>
  <si>
    <t>Impermeabilizações</t>
  </si>
  <si>
    <t>Revestimentos de teto</t>
  </si>
  <si>
    <t>Fachadas</t>
  </si>
  <si>
    <t>Acabamentos elétricos e luminárias</t>
  </si>
  <si>
    <t>Louças e metais sanitários</t>
  </si>
  <si>
    <t>Cobertura</t>
  </si>
  <si>
    <t>Instalações de ar condicionado</t>
  </si>
  <si>
    <t>Instalações elétricas e rede</t>
  </si>
  <si>
    <t>Pintura</t>
  </si>
  <si>
    <t>Limpez final de obra</t>
  </si>
  <si>
    <t>Medição 10</t>
  </si>
  <si>
    <t>Avanço Físico</t>
  </si>
  <si>
    <t>Avanço Financeiro</t>
  </si>
  <si>
    <t>Galeria de fotos por etapas de obras</t>
  </si>
  <si>
    <t xml:space="preserve">Escritório de arquitetura </t>
  </si>
  <si>
    <t>Construtora</t>
  </si>
  <si>
    <t>Engenheiro responsável</t>
  </si>
  <si>
    <t>Luis Lopes Construtora</t>
  </si>
  <si>
    <t>Francisco da Silva Arquitetura</t>
  </si>
  <si>
    <t>Projetista de estruturas</t>
  </si>
  <si>
    <t>Obra</t>
  </si>
  <si>
    <t>% avanço</t>
  </si>
  <si>
    <t>Contratado</t>
  </si>
  <si>
    <t>Contratado total</t>
  </si>
  <si>
    <t>Atividades executadas na semana:</t>
  </si>
  <si>
    <t>Valor</t>
  </si>
  <si>
    <t>%</t>
  </si>
  <si>
    <t>Data</t>
  </si>
  <si>
    <t>Aditivo 3</t>
  </si>
  <si>
    <t>Aditivo 4</t>
  </si>
  <si>
    <t>Aditivo 5</t>
  </si>
  <si>
    <t>Aditivo 1 - aumento da estrutura do quiosque</t>
  </si>
  <si>
    <t>Aditivo 2 - aumento da parede da sala</t>
  </si>
  <si>
    <t>Informações da Obra</t>
  </si>
  <si>
    <t>Aditivos</t>
  </si>
  <si>
    <t>Pago em medições</t>
  </si>
  <si>
    <t>Saldo a pagar</t>
  </si>
  <si>
    <t>Pago em materiais</t>
  </si>
  <si>
    <t>Argamassas</t>
  </si>
  <si>
    <t>Sinal contratual</t>
  </si>
  <si>
    <t>Medição 01</t>
  </si>
  <si>
    <t>Medição 02</t>
  </si>
  <si>
    <t>Medição 03</t>
  </si>
  <si>
    <t>Medição 04</t>
  </si>
  <si>
    <t>Medição 05</t>
  </si>
  <si>
    <t>Medição 06</t>
  </si>
  <si>
    <t>Medição 07</t>
  </si>
  <si>
    <t>Medição 08</t>
  </si>
  <si>
    <t>Medição 09</t>
  </si>
  <si>
    <t>Aço para a obra</t>
  </si>
  <si>
    <t>Madeira para a obra</t>
  </si>
  <si>
    <t>Pisos e revestimentos</t>
  </si>
  <si>
    <t>Material xx</t>
  </si>
  <si>
    <t>Pago total</t>
  </si>
  <si>
    <t>www.comoestaminhaobra.com.br</t>
  </si>
  <si>
    <t>Como está minha obra!</t>
  </si>
  <si>
    <t>+</t>
  </si>
  <si>
    <t>[+]</t>
  </si>
  <si>
    <t>Clima da semana</t>
  </si>
  <si>
    <t>Nublado</t>
  </si>
  <si>
    <t>Chuvoso</t>
  </si>
  <si>
    <t>Tempo aberto</t>
  </si>
  <si>
    <t>Proposta de Valor</t>
  </si>
  <si>
    <t>Para quem é</t>
  </si>
  <si>
    <t>Problema que resolve</t>
  </si>
  <si>
    <t>Transformamos a comunicação entre construtores e clientes em uma experiência de total transparência, organização e confiança.</t>
  </si>
  <si>
    <t>Nossa plataforma permite que pequenos e médios construtores apresentem a evolução de suas obras de forma simples, profissional e contínua, enquanto os clientes acompanham cada etapa do investimento em tempo real, de qualquer lugar.</t>
  </si>
  <si>
    <t>Mais do que um relatório de obra, entregamos tranquilidade para quem constrói e segurança para quem investe.</t>
  </si>
  <si>
    <t>A plataforma foi desenvolvida para profissionais da construção civil que desejam elevar o nível do relacionamento com seus clientes.</t>
  </si>
  <si>
    <t>Ideal para:
Pequenos construtores
Construtores autônomos
Engenheiros civis
Arquitetos
Mestres de obras
Empreiteiros
Empresas de construções e reformas
Escritórios de engenharia
E para:
Proprietários de imóveis
Clientes que estão construindo
Investidores imobiliários
Famílias que desejam acompanhar sua obra</t>
  </si>
  <si>
    <t>Na maioria das obras, o cliente enfrenta dúvidas constantes.
"Será que a obra está andando?"
"O dinheiro está sendo bem aplicado?"
"Em que etapa estamos?"
"Por que ainda não terminou?"
"O que foi feito esta semana?"
Do outro lado, o construtor perde tempo respondendo mensagens, enviando fotos pelo WhatsApp e tentando explicar o andamento da obra repetidamente.
Isso gera:
insegurança
desconfiança
desgaste no relacionamento
retrabalho
falta de organização
comunicação descentralizada
Nossa plataforma elimina esse problema.
Toda a comunicação fica centralizada em um único ambiente profissional.</t>
  </si>
  <si>
    <t>O que entregamos?</t>
  </si>
  <si>
    <t>A cada semana o construtor publica um relatório simples e organizado contendo:
✔ Fotos atualizadas
✔ Vídeos
✔ Evolução física da obra
✔ Cronograma
✔ Percentual executado
✔ Etapas concluídas
✔ Próximas atividades
✔ Informações financeiras (quando desejado)
✔ Observações técnicas
✔ Pendências
✔ Registro histórico
✔ Linha do tempo da obra
✔ Acesso exclusivo do cliente
✔ Acompanhamento de qualquer dispositivo
Tudo armazenado em um único lugar.</t>
  </si>
  <si>
    <t>Por que escolher nossa plataforma?</t>
  </si>
  <si>
    <t>Porque confiança é construída com transparência.
Nossa plataforma permite que o cliente acompanhe sua obra sem precisar solicitar informações constantemente.
O construtor demonstra profissionalismo.
O cliente sente segurança.
A comunicação melhora.
Os conflitos diminuem.
A credibilidade aumenta.
Isso resulta em clientes mais satisfeitos e mais indicações para novos negócios.</t>
  </si>
  <si>
    <t>Acreditamos que a engenharia vai muito além de executar obras.
Ela deve transmitir confiança.
Nos posicionamos como uma plataforma que fortalece o relacionamento entre quem constrói e quem investe.
Não somos apenas um sistema de envio de fotos.
Somos uma ferramenta de gestão da comunicação da obra.
Queremos elevar o padrão de transparência da construção civil brasileira, tornando acessível aos pequenos construtores um nível de organização antes disponível apenas para grandes empresas.</t>
  </si>
  <si>
    <t>Nossos diferenciais</t>
  </si>
  <si>
    <t>Nosso posicionamento</t>
  </si>
  <si>
    <t>Transparência - Todas as informações ficam registradas.
Simplicidade - Não exige conhecimento técnico em informática, o construtor publica em poucos minutos.
Comunicação organizada - Adeus fotos perdidas no WhatsApp e toda a obra fica documentada.
Histórico permanente - O cliente consegue revisar toda a evolução da construção desde o primeiro dia.
Mais profissionalismo - A plataforma valoriza a imagem do construtor perante seus clientes.
Mais confiança - Clientes bem informados confiam mais no profissional.
Economia de tempo - Menos ligações, menos mensagens e menos retrabalho.
Acesso online - Acompanhe de qualquer lugar, no celular, no tablet, no computador.
Segurança das informações - Todo o histórico permanece organizado e disponível.
Plataforma focada na experiência do cliente - Cada página da obra é personalizada para oferecer uma experiência clara, intuitiva e agradável, aproximando o cliente do andamento real da construção.</t>
  </si>
  <si>
    <t>Nossa missão</t>
  </si>
  <si>
    <t>Fortalecer a confiança entre construtores e clientes por meio da transparência, organização e comunicação contínua durante toda a obra.</t>
  </si>
  <si>
    <t>Nossa visão</t>
  </si>
  <si>
    <t>Ser a principal plataforma brasileira de acompanhamento de obras, tornando a transparência um novo padrão na construção civil e ajudando milhares de construtores a profissionalizar seu relacionamento com seus clientes.</t>
  </si>
  <si>
    <t>Nosso propósito</t>
  </si>
  <si>
    <t>Porque uma obra não é apenas concreto, aço e tijolos. É o investimento, os sonhos e a confiança de uma família. Nossa missão é garantir que cada cliente acompanhe essa jornada com clareza, segurança e tranquilidade, enquanto o construtor fortalece sua credibilidade e se destaca pela excelência na forma de comunicar e entregar seu trabalho.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</si>
</sst>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Fotos da&quot;\ General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14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" fontId="0" fillId="0" borderId="0" xfId="1" applyNumberFormat="1" applyFont="1" applyAlignment="1">
      <alignment horizontal="left"/>
    </xf>
    <xf numFmtId="9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9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3" fontId="2" fillId="0" borderId="0" xfId="1" applyFont="1" applyAlignment="1">
      <alignment horizontal="left"/>
    </xf>
    <xf numFmtId="0" fontId="2" fillId="2" borderId="0" xfId="0" applyFont="1" applyFill="1"/>
    <xf numFmtId="164" fontId="0" fillId="0" borderId="0" xfId="0" applyNumberFormat="1"/>
    <xf numFmtId="9" fontId="2" fillId="2" borderId="0" xfId="0" applyNumberFormat="1" applyFont="1" applyFill="1" applyAlignment="1">
      <alignment horizontal="center"/>
    </xf>
    <xf numFmtId="43" fontId="0" fillId="0" borderId="0" xfId="1" applyFont="1"/>
    <xf numFmtId="0" fontId="0" fillId="2" borderId="0" xfId="0" applyFill="1"/>
    <xf numFmtId="43" fontId="2" fillId="0" borderId="0" xfId="1" applyFont="1"/>
    <xf numFmtId="0" fontId="2" fillId="0" borderId="0" xfId="0" applyFont="1"/>
    <xf numFmtId="0" fontId="4" fillId="0" borderId="0" xfId="0" applyFont="1"/>
    <xf numFmtId="43" fontId="4" fillId="0" borderId="0" xfId="1" applyFont="1"/>
    <xf numFmtId="9" fontId="5" fillId="0" borderId="0" xfId="0" applyNumberFormat="1" applyFont="1" applyAlignment="1">
      <alignment horizontal="center"/>
    </xf>
    <xf numFmtId="43" fontId="4" fillId="0" borderId="0" xfId="0" applyNumberFormat="1" applyFont="1"/>
    <xf numFmtId="9" fontId="4" fillId="0" borderId="0" xfId="0" applyNumberFormat="1" applyFont="1" applyAlignment="1">
      <alignment horizontal="center"/>
    </xf>
    <xf numFmtId="43" fontId="0" fillId="0" borderId="0" xfId="0" applyNumberFormat="1"/>
    <xf numFmtId="0" fontId="2" fillId="2" borderId="0" xfId="0" applyFont="1" applyFill="1" applyAlignment="1">
      <alignment horizontal="center"/>
    </xf>
    <xf numFmtId="0" fontId="6" fillId="0" borderId="0" xfId="3"/>
    <xf numFmtId="0" fontId="0" fillId="0" borderId="0" xfId="0" applyAlignment="1">
      <alignment horizontal="center"/>
    </xf>
    <xf numFmtId="0" fontId="7" fillId="0" borderId="0" xfId="0" applyFont="1"/>
    <xf numFmtId="0" fontId="4" fillId="2" borderId="0" xfId="0" applyFont="1" applyFill="1"/>
    <xf numFmtId="0" fontId="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4">
    <cellStyle name="Hiperlink" xfId="3" builtinId="8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moestaminhaobra.com.b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5F0F-255B-46AD-88A3-7EA1B42256C3}">
  <dimension ref="B2:D45"/>
  <sheetViews>
    <sheetView tabSelected="1" zoomScaleNormal="100" workbookViewId="0">
      <selection activeCell="B10" sqref="B10"/>
    </sheetView>
  </sheetViews>
  <sheetFormatPr defaultRowHeight="15" x14ac:dyDescent="0.25"/>
  <cols>
    <col min="2" max="2" width="141" customWidth="1"/>
  </cols>
  <sheetData>
    <row r="2" spans="2:4" x14ac:dyDescent="0.25">
      <c r="B2" s="23" t="s">
        <v>82</v>
      </c>
    </row>
    <row r="3" spans="2:4" x14ac:dyDescent="0.25">
      <c r="B3" t="s">
        <v>83</v>
      </c>
    </row>
    <row r="8" spans="2:4" x14ac:dyDescent="0.25">
      <c r="B8" s="26" t="s">
        <v>90</v>
      </c>
      <c r="C8" s="13"/>
      <c r="D8" s="13"/>
    </row>
    <row r="9" spans="2:4" x14ac:dyDescent="0.25">
      <c r="B9" t="s">
        <v>93</v>
      </c>
    </row>
    <row r="10" spans="2:4" x14ac:dyDescent="0.25">
      <c r="B10" t="s">
        <v>94</v>
      </c>
    </row>
    <row r="11" spans="2:4" x14ac:dyDescent="0.25">
      <c r="B11" t="s">
        <v>95</v>
      </c>
    </row>
    <row r="14" spans="2:4" x14ac:dyDescent="0.25">
      <c r="B14" s="26" t="s">
        <v>91</v>
      </c>
      <c r="C14" s="13"/>
      <c r="D14" s="13"/>
    </row>
    <row r="15" spans="2:4" x14ac:dyDescent="0.25">
      <c r="B15" s="25" t="s">
        <v>96</v>
      </c>
    </row>
    <row r="16" spans="2:4" ht="255" x14ac:dyDescent="0.25">
      <c r="B16" s="27" t="s">
        <v>97</v>
      </c>
    </row>
    <row r="17" spans="2:4" x14ac:dyDescent="0.25">
      <c r="B17" s="25"/>
    </row>
    <row r="19" spans="2:4" x14ac:dyDescent="0.25">
      <c r="B19" s="26" t="s">
        <v>92</v>
      </c>
      <c r="C19" s="13"/>
      <c r="D19" s="13"/>
    </row>
    <row r="20" spans="2:4" ht="345" x14ac:dyDescent="0.25">
      <c r="B20" s="29" t="s">
        <v>98</v>
      </c>
    </row>
    <row r="23" spans="2:4" x14ac:dyDescent="0.25">
      <c r="B23" s="26" t="s">
        <v>99</v>
      </c>
      <c r="C23" s="13"/>
      <c r="D23" s="13"/>
    </row>
    <row r="24" spans="2:4" ht="270" x14ac:dyDescent="0.25">
      <c r="B24" s="28" t="s">
        <v>100</v>
      </c>
    </row>
    <row r="27" spans="2:4" x14ac:dyDescent="0.25">
      <c r="B27" s="26" t="s">
        <v>101</v>
      </c>
      <c r="C27" s="13"/>
      <c r="D27" s="13"/>
    </row>
    <row r="28" spans="2:4" ht="225" x14ac:dyDescent="0.25">
      <c r="B28" s="28" t="s">
        <v>102</v>
      </c>
    </row>
    <row r="30" spans="2:4" x14ac:dyDescent="0.25">
      <c r="B30" s="26" t="s">
        <v>105</v>
      </c>
    </row>
    <row r="31" spans="2:4" ht="180" x14ac:dyDescent="0.25">
      <c r="B31" s="28" t="s">
        <v>103</v>
      </c>
    </row>
    <row r="34" spans="2:2" x14ac:dyDescent="0.25">
      <c r="B34" s="26" t="s">
        <v>104</v>
      </c>
    </row>
    <row r="35" spans="2:2" ht="300" x14ac:dyDescent="0.25">
      <c r="B35" s="28" t="s">
        <v>106</v>
      </c>
    </row>
    <row r="38" spans="2:2" x14ac:dyDescent="0.25">
      <c r="B38" s="26" t="s">
        <v>107</v>
      </c>
    </row>
    <row r="39" spans="2:2" x14ac:dyDescent="0.25">
      <c r="B39" s="28" t="s">
        <v>108</v>
      </c>
    </row>
    <row r="41" spans="2:2" x14ac:dyDescent="0.25">
      <c r="B41" s="26" t="s">
        <v>109</v>
      </c>
    </row>
    <row r="42" spans="2:2" ht="30" x14ac:dyDescent="0.25">
      <c r="B42" s="28" t="s">
        <v>110</v>
      </c>
    </row>
    <row r="44" spans="2:2" x14ac:dyDescent="0.25">
      <c r="B44" s="26" t="s">
        <v>111</v>
      </c>
    </row>
    <row r="45" spans="2:2" ht="45" x14ac:dyDescent="0.25">
      <c r="B45" s="28" t="s">
        <v>112</v>
      </c>
    </row>
  </sheetData>
  <hyperlinks>
    <hyperlink ref="B2" r:id="rId1" xr:uid="{E8E22149-35A3-42DA-A0BF-C29757E6D36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B9C2-D2E0-4ED7-9482-58C11C46E70E}">
  <dimension ref="A2:E146"/>
  <sheetViews>
    <sheetView zoomScale="145" zoomScaleNormal="145" workbookViewId="0">
      <selection activeCell="B11" sqref="B11"/>
    </sheetView>
  </sheetViews>
  <sheetFormatPr defaultRowHeight="15" outlineLevelRow="1" x14ac:dyDescent="0.25"/>
  <cols>
    <col min="2" max="2" width="53.42578125" bestFit="1" customWidth="1"/>
    <col min="3" max="3" width="14" customWidth="1"/>
    <col min="4" max="6" width="13.5703125" customWidth="1"/>
    <col min="7" max="7" width="31.42578125" bestFit="1" customWidth="1"/>
  </cols>
  <sheetData>
    <row r="2" spans="1:4" x14ac:dyDescent="0.25">
      <c r="A2" s="22" t="s">
        <v>84</v>
      </c>
      <c r="B2" s="9" t="s">
        <v>61</v>
      </c>
      <c r="C2" s="13"/>
      <c r="D2" s="13"/>
    </row>
    <row r="3" spans="1:4" outlineLevel="1" x14ac:dyDescent="0.25">
      <c r="B3" t="s">
        <v>48</v>
      </c>
      <c r="C3" t="s">
        <v>4</v>
      </c>
    </row>
    <row r="4" spans="1:4" outlineLevel="1" x14ac:dyDescent="0.25">
      <c r="B4" t="s">
        <v>0</v>
      </c>
      <c r="C4" t="s">
        <v>5</v>
      </c>
    </row>
    <row r="5" spans="1:4" outlineLevel="1" x14ac:dyDescent="0.25">
      <c r="B5" t="s">
        <v>1</v>
      </c>
      <c r="C5" t="s">
        <v>12</v>
      </c>
    </row>
    <row r="6" spans="1:4" outlineLevel="1" x14ac:dyDescent="0.25">
      <c r="B6" t="s">
        <v>43</v>
      </c>
      <c r="C6" t="s">
        <v>45</v>
      </c>
    </row>
    <row r="7" spans="1:4" outlineLevel="1" x14ac:dyDescent="0.25">
      <c r="B7" t="s">
        <v>44</v>
      </c>
      <c r="C7" t="s">
        <v>11</v>
      </c>
    </row>
    <row r="8" spans="1:4" outlineLevel="1" x14ac:dyDescent="0.25">
      <c r="B8" t="s">
        <v>42</v>
      </c>
      <c r="C8" t="s">
        <v>46</v>
      </c>
    </row>
    <row r="9" spans="1:4" outlineLevel="1" x14ac:dyDescent="0.25">
      <c r="B9" t="s">
        <v>6</v>
      </c>
      <c r="C9" t="s">
        <v>7</v>
      </c>
    </row>
    <row r="10" spans="1:4" outlineLevel="1" x14ac:dyDescent="0.25"/>
    <row r="11" spans="1:4" outlineLevel="1" x14ac:dyDescent="0.25">
      <c r="B11" t="s">
        <v>47</v>
      </c>
      <c r="C11" t="s">
        <v>10</v>
      </c>
    </row>
    <row r="12" spans="1:4" outlineLevel="1" x14ac:dyDescent="0.25">
      <c r="B12" t="s">
        <v>8</v>
      </c>
      <c r="C12" t="s">
        <v>9</v>
      </c>
    </row>
    <row r="13" spans="1:4" outlineLevel="1" x14ac:dyDescent="0.25"/>
    <row r="14" spans="1:4" outlineLevel="1" x14ac:dyDescent="0.25">
      <c r="B14" t="s">
        <v>2</v>
      </c>
      <c r="C14" s="1">
        <v>46027</v>
      </c>
      <c r="D14" s="1"/>
    </row>
    <row r="15" spans="1:4" outlineLevel="1" x14ac:dyDescent="0.25">
      <c r="B15" t="s">
        <v>3</v>
      </c>
      <c r="C15" s="1">
        <f>C14+12*30</f>
        <v>46387</v>
      </c>
      <c r="D15" s="2"/>
    </row>
    <row r="16" spans="1:4" outlineLevel="1" x14ac:dyDescent="0.25">
      <c r="C16" s="1"/>
      <c r="D16" s="1"/>
    </row>
    <row r="17" spans="1:5" outlineLevel="1" x14ac:dyDescent="0.25">
      <c r="B17" t="s">
        <v>13</v>
      </c>
      <c r="C17" s="3">
        <f ca="1">TODAY()-C14</f>
        <v>176</v>
      </c>
      <c r="D17" s="3"/>
    </row>
    <row r="18" spans="1:5" outlineLevel="1" x14ac:dyDescent="0.25">
      <c r="B18" t="s">
        <v>14</v>
      </c>
      <c r="C18" s="3">
        <f ca="1">C15-C14-C17</f>
        <v>184</v>
      </c>
      <c r="D18" s="3"/>
    </row>
    <row r="19" spans="1:5" outlineLevel="1" x14ac:dyDescent="0.25">
      <c r="C19" s="3"/>
      <c r="D19" s="3"/>
    </row>
    <row r="20" spans="1:5" outlineLevel="1" x14ac:dyDescent="0.25">
      <c r="B20" t="s">
        <v>50</v>
      </c>
      <c r="C20" s="2">
        <f>C86</f>
        <v>1000000</v>
      </c>
      <c r="D20" s="4">
        <f>C20/$C$22</f>
        <v>0.96805421103581801</v>
      </c>
    </row>
    <row r="21" spans="1:5" outlineLevel="1" x14ac:dyDescent="0.25">
      <c r="B21" t="s">
        <v>62</v>
      </c>
      <c r="C21" s="2">
        <f>C87</f>
        <v>33000</v>
      </c>
      <c r="D21" s="4">
        <f>C21/$C$22</f>
        <v>3.1945788964181994E-2</v>
      </c>
    </row>
    <row r="22" spans="1:5" outlineLevel="1" x14ac:dyDescent="0.25">
      <c r="B22" t="s">
        <v>51</v>
      </c>
      <c r="C22" s="2">
        <f>C85</f>
        <v>1033000</v>
      </c>
      <c r="D22" s="5"/>
    </row>
    <row r="23" spans="1:5" outlineLevel="1" x14ac:dyDescent="0.25">
      <c r="C23" s="3"/>
      <c r="D23" s="3"/>
    </row>
    <row r="24" spans="1:5" outlineLevel="1" x14ac:dyDescent="0.25">
      <c r="B24" t="s">
        <v>63</v>
      </c>
      <c r="C24" s="2">
        <f>C94</f>
        <v>260000</v>
      </c>
      <c r="D24" s="5">
        <f>C24/$C$22</f>
        <v>0.25169409486931266</v>
      </c>
    </row>
    <row r="25" spans="1:5" outlineLevel="1" x14ac:dyDescent="0.25">
      <c r="B25" t="s">
        <v>65</v>
      </c>
      <c r="C25" s="2">
        <f>C108</f>
        <v>63000</v>
      </c>
      <c r="D25" s="5">
        <f>C25/$C$22</f>
        <v>6.0987415295256538E-2</v>
      </c>
    </row>
    <row r="26" spans="1:5" outlineLevel="1" x14ac:dyDescent="0.25">
      <c r="B26" t="s">
        <v>81</v>
      </c>
      <c r="C26" s="2">
        <f>SUM(C24:C25)</f>
        <v>323000</v>
      </c>
      <c r="D26" s="5">
        <f>C26/$C$22</f>
        <v>0.31268151016456924</v>
      </c>
    </row>
    <row r="27" spans="1:5" outlineLevel="1" x14ac:dyDescent="0.25">
      <c r="B27" t="s">
        <v>64</v>
      </c>
      <c r="C27" s="2">
        <f>C22-C26</f>
        <v>710000</v>
      </c>
      <c r="D27" s="5">
        <f>C27/$C$22</f>
        <v>0.68731848983543076</v>
      </c>
    </row>
    <row r="28" spans="1:5" x14ac:dyDescent="0.25">
      <c r="C28" s="3"/>
      <c r="D28" s="3"/>
    </row>
    <row r="29" spans="1:5" x14ac:dyDescent="0.25">
      <c r="A29" s="22" t="s">
        <v>84</v>
      </c>
      <c r="B29" s="9" t="s">
        <v>39</v>
      </c>
      <c r="C29" s="11" t="s">
        <v>49</v>
      </c>
      <c r="D29" s="11">
        <f>C30*0.01+C31*0.03+C32*0.05+C33*0.08+C34*0.15+C35*0.04+C36*0.03+C37*0.06+C38*0.04+C39*0.03+C40*0.02+C41*0.02+C42*0.05+C43*0.04+C44*0.03+C45*0.08+C46*0.05+C47*0.03+C48*0.01+C49*0.06+C50*0.04+C51*0.04+C52*0.01</f>
        <v>0.33999999999999997</v>
      </c>
      <c r="E29" s="5"/>
    </row>
    <row r="30" spans="1:5" outlineLevel="1" x14ac:dyDescent="0.25">
      <c r="B30" t="s">
        <v>25</v>
      </c>
      <c r="C30" s="4">
        <v>1</v>
      </c>
      <c r="D30" s="3"/>
      <c r="E30" s="5"/>
    </row>
    <row r="31" spans="1:5" outlineLevel="1" x14ac:dyDescent="0.25">
      <c r="B31" t="s">
        <v>23</v>
      </c>
      <c r="C31" s="4">
        <v>1</v>
      </c>
      <c r="D31" s="3"/>
      <c r="E31" s="5"/>
    </row>
    <row r="32" spans="1:5" outlineLevel="1" x14ac:dyDescent="0.25">
      <c r="B32" t="s">
        <v>24</v>
      </c>
      <c r="C32" s="4">
        <v>1</v>
      </c>
      <c r="D32" s="3"/>
      <c r="E32" s="5"/>
    </row>
    <row r="33" spans="2:5" outlineLevel="1" x14ac:dyDescent="0.25">
      <c r="B33" t="s">
        <v>15</v>
      </c>
      <c r="C33" s="4">
        <v>1</v>
      </c>
      <c r="D33" s="3"/>
      <c r="E33" s="5"/>
    </row>
    <row r="34" spans="2:5" outlineLevel="1" x14ac:dyDescent="0.25">
      <c r="B34" t="s">
        <v>16</v>
      </c>
      <c r="C34" s="4">
        <v>1</v>
      </c>
      <c r="D34" s="3"/>
      <c r="E34" s="5"/>
    </row>
    <row r="35" spans="2:5" outlineLevel="1" x14ac:dyDescent="0.25">
      <c r="B35" t="s">
        <v>17</v>
      </c>
      <c r="C35" s="4">
        <v>0.2</v>
      </c>
      <c r="D35" s="3"/>
      <c r="E35" s="5"/>
    </row>
    <row r="36" spans="2:5" outlineLevel="1" x14ac:dyDescent="0.25">
      <c r="B36" t="s">
        <v>33</v>
      </c>
      <c r="C36" s="4">
        <v>0.2</v>
      </c>
      <c r="D36" s="3"/>
      <c r="E36" s="5"/>
    </row>
    <row r="37" spans="2:5" outlineLevel="1" x14ac:dyDescent="0.25">
      <c r="B37" t="s">
        <v>35</v>
      </c>
      <c r="C37" s="4">
        <v>0.1</v>
      </c>
      <c r="D37" s="3"/>
      <c r="E37" s="5"/>
    </row>
    <row r="38" spans="2:5" outlineLevel="1" x14ac:dyDescent="0.25">
      <c r="B38" t="s">
        <v>18</v>
      </c>
      <c r="C38" s="4">
        <v>0</v>
      </c>
      <c r="D38" s="3"/>
      <c r="E38" s="5"/>
    </row>
    <row r="39" spans="2:5" outlineLevel="1" x14ac:dyDescent="0.25">
      <c r="B39" t="s">
        <v>34</v>
      </c>
      <c r="C39" s="4">
        <v>0</v>
      </c>
      <c r="D39" s="3"/>
      <c r="E39" s="5"/>
    </row>
    <row r="40" spans="2:5" outlineLevel="1" x14ac:dyDescent="0.25">
      <c r="B40" t="s">
        <v>19</v>
      </c>
      <c r="C40" s="4">
        <v>0</v>
      </c>
      <c r="D40" s="3"/>
      <c r="E40" s="5"/>
    </row>
    <row r="41" spans="2:5" outlineLevel="1" x14ac:dyDescent="0.25">
      <c r="B41" t="s">
        <v>28</v>
      </c>
      <c r="C41" s="4">
        <v>0</v>
      </c>
      <c r="D41" s="3"/>
      <c r="E41" s="5"/>
    </row>
    <row r="42" spans="2:5" outlineLevel="1" x14ac:dyDescent="0.25">
      <c r="B42" t="s">
        <v>20</v>
      </c>
      <c r="C42" s="4">
        <v>0</v>
      </c>
      <c r="D42" s="3"/>
      <c r="E42" s="5"/>
    </row>
    <row r="43" spans="2:5" outlineLevel="1" x14ac:dyDescent="0.25">
      <c r="B43" t="s">
        <v>21</v>
      </c>
      <c r="C43" s="4">
        <v>0</v>
      </c>
      <c r="D43" s="3"/>
      <c r="E43" s="5"/>
    </row>
    <row r="44" spans="2:5" outlineLevel="1" x14ac:dyDescent="0.25">
      <c r="B44" t="s">
        <v>29</v>
      </c>
      <c r="C44" s="4">
        <v>0</v>
      </c>
      <c r="D44" s="3"/>
      <c r="E44" s="5"/>
    </row>
    <row r="45" spans="2:5" outlineLevel="1" x14ac:dyDescent="0.25">
      <c r="B45" t="s">
        <v>30</v>
      </c>
      <c r="C45" s="4">
        <v>0</v>
      </c>
      <c r="D45" s="3"/>
      <c r="E45" s="5"/>
    </row>
    <row r="46" spans="2:5" outlineLevel="1" x14ac:dyDescent="0.25">
      <c r="B46" t="s">
        <v>26</v>
      </c>
      <c r="C46" s="4">
        <v>0</v>
      </c>
      <c r="D46" s="3"/>
      <c r="E46" s="5"/>
    </row>
    <row r="47" spans="2:5" outlineLevel="1" x14ac:dyDescent="0.25">
      <c r="B47" t="s">
        <v>27</v>
      </c>
      <c r="C47" s="4">
        <v>0</v>
      </c>
      <c r="D47" s="3"/>
      <c r="E47" s="5"/>
    </row>
    <row r="48" spans="2:5" outlineLevel="1" x14ac:dyDescent="0.25">
      <c r="B48" t="s">
        <v>22</v>
      </c>
      <c r="C48" s="4">
        <v>0</v>
      </c>
      <c r="D48" s="3"/>
      <c r="E48" s="5"/>
    </row>
    <row r="49" spans="1:5" outlineLevel="1" x14ac:dyDescent="0.25">
      <c r="B49" t="s">
        <v>31</v>
      </c>
      <c r="C49" s="4">
        <v>0</v>
      </c>
      <c r="D49" s="3"/>
      <c r="E49" s="5"/>
    </row>
    <row r="50" spans="1:5" outlineLevel="1" x14ac:dyDescent="0.25">
      <c r="B50" t="s">
        <v>32</v>
      </c>
      <c r="C50" s="4">
        <v>0</v>
      </c>
      <c r="D50" s="3"/>
      <c r="E50" s="5"/>
    </row>
    <row r="51" spans="1:5" outlineLevel="1" x14ac:dyDescent="0.25">
      <c r="B51" t="s">
        <v>36</v>
      </c>
      <c r="C51" s="4">
        <v>0</v>
      </c>
      <c r="D51" s="3"/>
      <c r="E51" s="5"/>
    </row>
    <row r="52" spans="1:5" outlineLevel="1" x14ac:dyDescent="0.25">
      <c r="B52" t="s">
        <v>37</v>
      </c>
      <c r="C52" s="4">
        <v>0</v>
      </c>
      <c r="D52" s="3"/>
      <c r="E52" s="5"/>
    </row>
    <row r="53" spans="1:5" x14ac:dyDescent="0.25">
      <c r="C53" s="7"/>
      <c r="D53" s="3"/>
    </row>
    <row r="54" spans="1:5" x14ac:dyDescent="0.25">
      <c r="A54" s="22" t="s">
        <v>84</v>
      </c>
      <c r="B54" s="9" t="s">
        <v>52</v>
      </c>
      <c r="C54" s="7"/>
      <c r="D54" s="3"/>
    </row>
    <row r="55" spans="1:5" outlineLevel="1" x14ac:dyDescent="0.25">
      <c r="A55" s="24" t="s">
        <v>85</v>
      </c>
      <c r="B55" t="str">
        <f>B30</f>
        <v>Montagem do canteiro de obras</v>
      </c>
      <c r="C55" s="7"/>
      <c r="D55" s="3"/>
    </row>
    <row r="56" spans="1:5" outlineLevel="1" x14ac:dyDescent="0.25">
      <c r="A56" s="24" t="s">
        <v>85</v>
      </c>
      <c r="B56" t="str">
        <f t="shared" ref="B56:B57" si="0">B31</f>
        <v>Demolições</v>
      </c>
      <c r="C56" s="7"/>
      <c r="D56" s="3"/>
    </row>
    <row r="57" spans="1:5" outlineLevel="1" x14ac:dyDescent="0.25">
      <c r="A57" s="24" t="s">
        <v>85</v>
      </c>
      <c r="B57" t="str">
        <f t="shared" si="0"/>
        <v>Terraplanagem</v>
      </c>
      <c r="C57" s="7"/>
      <c r="D57" s="3"/>
    </row>
    <row r="58" spans="1:5" outlineLevel="1" x14ac:dyDescent="0.25">
      <c r="A58" s="24" t="s">
        <v>85</v>
      </c>
      <c r="B58" t="str">
        <f>B33</f>
        <v>Fundações</v>
      </c>
      <c r="C58" s="7"/>
      <c r="D58" s="3"/>
    </row>
    <row r="59" spans="1:5" outlineLevel="1" x14ac:dyDescent="0.25">
      <c r="A59" s="24" t="s">
        <v>85</v>
      </c>
      <c r="B59" t="str">
        <f>B34</f>
        <v>Estrutura</v>
      </c>
      <c r="C59" s="7"/>
      <c r="D59" s="3"/>
    </row>
    <row r="60" spans="1:5" outlineLevel="1" x14ac:dyDescent="0.25">
      <c r="A60" s="24" t="s">
        <v>85</v>
      </c>
      <c r="B60" t="str">
        <f>B35</f>
        <v>Alvenarias</v>
      </c>
      <c r="C60" s="7"/>
      <c r="D60" s="3"/>
    </row>
    <row r="61" spans="1:5" outlineLevel="1" x14ac:dyDescent="0.25">
      <c r="A61" s="24" t="s">
        <v>85</v>
      </c>
      <c r="B61" t="str">
        <f>B36</f>
        <v>Cobertura</v>
      </c>
      <c r="C61" s="7"/>
      <c r="D61" s="3"/>
    </row>
    <row r="62" spans="1:5" outlineLevel="1" x14ac:dyDescent="0.25">
      <c r="A62" s="24" t="s">
        <v>85</v>
      </c>
      <c r="B62" t="str">
        <f>B37</f>
        <v>Instalações elétricas e rede</v>
      </c>
      <c r="C62" s="7"/>
      <c r="D62" s="3"/>
    </row>
    <row r="63" spans="1:5" outlineLevel="1" x14ac:dyDescent="0.25">
      <c r="A63" s="24" t="s">
        <v>85</v>
      </c>
      <c r="B63" t="str">
        <f>B38</f>
        <v>Instalações hidrossanitárias</v>
      </c>
      <c r="C63" s="7"/>
      <c r="D63" s="3"/>
    </row>
    <row r="64" spans="1:5" outlineLevel="1" x14ac:dyDescent="0.25">
      <c r="A64" s="24" t="s">
        <v>85</v>
      </c>
      <c r="B64" t="str">
        <f>B39</f>
        <v>Instalações de ar condicionado</v>
      </c>
      <c r="C64" s="7"/>
      <c r="D64" s="3"/>
    </row>
    <row r="65" spans="1:4" outlineLevel="1" x14ac:dyDescent="0.25">
      <c r="A65" s="24" t="s">
        <v>85</v>
      </c>
      <c r="B65" t="str">
        <f>B40</f>
        <v>Rebocos e contrapisos</v>
      </c>
      <c r="C65" s="7"/>
      <c r="D65" s="3"/>
    </row>
    <row r="66" spans="1:4" outlineLevel="1" x14ac:dyDescent="0.25">
      <c r="A66" s="24" t="s">
        <v>85</v>
      </c>
      <c r="B66" t="str">
        <f>B41</f>
        <v>Impermeabilizações</v>
      </c>
      <c r="C66" s="7"/>
      <c r="D66" s="3"/>
    </row>
    <row r="67" spans="1:4" outlineLevel="1" x14ac:dyDescent="0.25">
      <c r="A67" s="24" t="s">
        <v>85</v>
      </c>
      <c r="B67" t="str">
        <f>B42</f>
        <v>Revestimentos de piso</v>
      </c>
      <c r="C67" s="7"/>
      <c r="D67" s="3"/>
    </row>
    <row r="68" spans="1:4" outlineLevel="1" x14ac:dyDescent="0.25">
      <c r="A68" s="24" t="s">
        <v>85</v>
      </c>
      <c r="B68" t="str">
        <f>B43</f>
        <v>Revestimentos de parede</v>
      </c>
      <c r="C68" s="7"/>
      <c r="D68" s="3"/>
    </row>
    <row r="69" spans="1:4" outlineLevel="1" x14ac:dyDescent="0.25">
      <c r="A69" s="24" t="s">
        <v>85</v>
      </c>
      <c r="B69" t="str">
        <f>B44</f>
        <v>Revestimentos de teto</v>
      </c>
      <c r="C69" s="7"/>
      <c r="D69" s="3"/>
    </row>
    <row r="70" spans="1:4" outlineLevel="1" x14ac:dyDescent="0.25">
      <c r="A70" s="24" t="s">
        <v>85</v>
      </c>
      <c r="B70" t="str">
        <f>B45</f>
        <v>Fachadas</v>
      </c>
      <c r="C70" s="7"/>
      <c r="D70" s="3"/>
    </row>
    <row r="71" spans="1:4" outlineLevel="1" x14ac:dyDescent="0.25">
      <c r="A71" s="24" t="s">
        <v>85</v>
      </c>
      <c r="B71" t="str">
        <f>B46</f>
        <v>Esquadrias (janelas)</v>
      </c>
      <c r="C71" s="7"/>
      <c r="D71" s="3"/>
    </row>
    <row r="72" spans="1:4" outlineLevel="1" x14ac:dyDescent="0.25">
      <c r="A72" s="24" t="s">
        <v>85</v>
      </c>
      <c r="B72" t="str">
        <f>B47</f>
        <v>Esquadrias (portas)</v>
      </c>
      <c r="C72" s="7"/>
      <c r="D72" s="3"/>
    </row>
    <row r="73" spans="1:4" outlineLevel="1" x14ac:dyDescent="0.25">
      <c r="A73" s="24" t="s">
        <v>85</v>
      </c>
      <c r="B73" t="str">
        <f>B48</f>
        <v>Acabamentos de granito</v>
      </c>
      <c r="C73" s="7"/>
      <c r="D73" s="3"/>
    </row>
    <row r="74" spans="1:4" outlineLevel="1" x14ac:dyDescent="0.25">
      <c r="A74" s="24" t="s">
        <v>85</v>
      </c>
      <c r="B74" t="str">
        <f>B49</f>
        <v>Acabamentos elétricos e luminárias</v>
      </c>
      <c r="C74" s="7"/>
      <c r="D74" s="3"/>
    </row>
    <row r="75" spans="1:4" outlineLevel="1" x14ac:dyDescent="0.25">
      <c r="A75" s="24" t="s">
        <v>85</v>
      </c>
      <c r="B75" t="str">
        <f>B50</f>
        <v>Louças e metais sanitários</v>
      </c>
      <c r="C75" s="7"/>
      <c r="D75" s="3"/>
    </row>
    <row r="76" spans="1:4" outlineLevel="1" x14ac:dyDescent="0.25">
      <c r="A76" s="24" t="s">
        <v>85</v>
      </c>
      <c r="B76" t="str">
        <f>B51</f>
        <v>Pintura</v>
      </c>
      <c r="C76" s="7"/>
      <c r="D76" s="3"/>
    </row>
    <row r="77" spans="1:4" outlineLevel="1" x14ac:dyDescent="0.25">
      <c r="A77" s="24" t="s">
        <v>85</v>
      </c>
      <c r="B77" t="str">
        <f>B52</f>
        <v>Limpez final de obra</v>
      </c>
      <c r="C77" s="7"/>
      <c r="D77" s="3"/>
    </row>
    <row r="78" spans="1:4" x14ac:dyDescent="0.25">
      <c r="C78" s="7"/>
      <c r="D78" s="3"/>
    </row>
    <row r="79" spans="1:4" x14ac:dyDescent="0.25">
      <c r="A79" s="22" t="s">
        <v>84</v>
      </c>
      <c r="B79" s="9" t="s">
        <v>86</v>
      </c>
      <c r="C79" s="7"/>
      <c r="D79" s="3"/>
    </row>
    <row r="80" spans="1:4" outlineLevel="1" x14ac:dyDescent="0.25">
      <c r="A80" s="24" t="s">
        <v>85</v>
      </c>
      <c r="B80" t="s">
        <v>88</v>
      </c>
      <c r="C80" s="7"/>
      <c r="D80" s="3"/>
    </row>
    <row r="81" spans="1:5" outlineLevel="1" x14ac:dyDescent="0.25">
      <c r="A81" s="24" t="s">
        <v>85</v>
      </c>
      <c r="B81" t="s">
        <v>87</v>
      </c>
      <c r="C81" s="7"/>
      <c r="D81" s="3"/>
    </row>
    <row r="82" spans="1:5" outlineLevel="1" x14ac:dyDescent="0.25">
      <c r="A82" s="24" t="s">
        <v>85</v>
      </c>
      <c r="B82" t="s">
        <v>89</v>
      </c>
      <c r="C82" s="7"/>
      <c r="D82" s="3"/>
    </row>
    <row r="83" spans="1:5" x14ac:dyDescent="0.25">
      <c r="A83" s="24"/>
      <c r="C83" s="7"/>
      <c r="D83" s="3"/>
    </row>
    <row r="84" spans="1:5" x14ac:dyDescent="0.25">
      <c r="A84" s="22" t="s">
        <v>84</v>
      </c>
      <c r="B84" s="9" t="s">
        <v>40</v>
      </c>
      <c r="C84" s="11" t="s">
        <v>53</v>
      </c>
      <c r="D84" s="11" t="s">
        <v>54</v>
      </c>
      <c r="E84" s="22" t="s">
        <v>55</v>
      </c>
    </row>
    <row r="85" spans="1:5" outlineLevel="1" x14ac:dyDescent="0.25">
      <c r="B85" s="16" t="s">
        <v>51</v>
      </c>
      <c r="C85" s="17">
        <f>SUM(C86:C87)</f>
        <v>1033000</v>
      </c>
      <c r="D85" s="18">
        <f>C85/C85</f>
        <v>1</v>
      </c>
    </row>
    <row r="86" spans="1:5" outlineLevel="1" x14ac:dyDescent="0.25">
      <c r="B86" s="15" t="s">
        <v>50</v>
      </c>
      <c r="C86" s="14">
        <v>1000000</v>
      </c>
      <c r="D86" s="6">
        <f>C86/$C$85</f>
        <v>0.96805421103581801</v>
      </c>
    </row>
    <row r="87" spans="1:5" outlineLevel="1" x14ac:dyDescent="0.25">
      <c r="B87" s="15" t="s">
        <v>62</v>
      </c>
      <c r="C87" s="14">
        <f>SUM(C88:C92)</f>
        <v>33000</v>
      </c>
      <c r="D87" s="6">
        <f>C87/$C$85</f>
        <v>3.1945788964181994E-2</v>
      </c>
    </row>
    <row r="88" spans="1:5" outlineLevel="1" x14ac:dyDescent="0.25">
      <c r="B88" t="s">
        <v>59</v>
      </c>
      <c r="C88" s="12">
        <v>30000</v>
      </c>
      <c r="D88" s="4"/>
    </row>
    <row r="89" spans="1:5" outlineLevel="1" x14ac:dyDescent="0.25">
      <c r="B89" t="s">
        <v>60</v>
      </c>
      <c r="C89" s="12">
        <v>3000</v>
      </c>
      <c r="D89" s="4"/>
    </row>
    <row r="90" spans="1:5" outlineLevel="1" x14ac:dyDescent="0.25">
      <c r="B90" t="s">
        <v>56</v>
      </c>
      <c r="C90" s="12"/>
      <c r="D90" s="4"/>
    </row>
    <row r="91" spans="1:5" outlineLevel="1" x14ac:dyDescent="0.25">
      <c r="B91" t="s">
        <v>57</v>
      </c>
      <c r="C91" s="12"/>
      <c r="D91" s="4"/>
    </row>
    <row r="92" spans="1:5" outlineLevel="1" x14ac:dyDescent="0.25">
      <c r="B92" t="s">
        <v>58</v>
      </c>
      <c r="C92" s="12"/>
      <c r="D92" s="4"/>
    </row>
    <row r="93" spans="1:5" outlineLevel="1" x14ac:dyDescent="0.25">
      <c r="B93" s="16"/>
      <c r="C93" s="17"/>
      <c r="D93" s="18"/>
    </row>
    <row r="94" spans="1:5" outlineLevel="1" x14ac:dyDescent="0.25">
      <c r="B94" s="16" t="s">
        <v>63</v>
      </c>
      <c r="C94" s="19">
        <f>SUM(C95:C105)</f>
        <v>260000</v>
      </c>
      <c r="D94" s="20">
        <f>C94/$C$85</f>
        <v>0.25169409486931266</v>
      </c>
    </row>
    <row r="95" spans="1:5" outlineLevel="1" x14ac:dyDescent="0.25">
      <c r="B95" t="s">
        <v>67</v>
      </c>
      <c r="C95" s="21">
        <v>100000</v>
      </c>
      <c r="D95" s="4"/>
    </row>
    <row r="96" spans="1:5" outlineLevel="1" x14ac:dyDescent="0.25">
      <c r="B96" t="s">
        <v>68</v>
      </c>
      <c r="C96" s="21">
        <v>50000</v>
      </c>
      <c r="D96" s="4"/>
    </row>
    <row r="97" spans="2:4" outlineLevel="1" x14ac:dyDescent="0.25">
      <c r="B97" t="s">
        <v>69</v>
      </c>
      <c r="C97" s="21">
        <v>60000</v>
      </c>
      <c r="D97" s="4"/>
    </row>
    <row r="98" spans="2:4" outlineLevel="1" x14ac:dyDescent="0.25">
      <c r="B98" t="s">
        <v>70</v>
      </c>
      <c r="C98" s="21">
        <v>50000</v>
      </c>
      <c r="D98" s="4"/>
    </row>
    <row r="99" spans="2:4" outlineLevel="1" x14ac:dyDescent="0.25">
      <c r="B99" t="s">
        <v>71</v>
      </c>
      <c r="C99" s="21"/>
      <c r="D99" s="4"/>
    </row>
    <row r="100" spans="2:4" outlineLevel="1" x14ac:dyDescent="0.25">
      <c r="B100" t="s">
        <v>72</v>
      </c>
      <c r="C100" s="21"/>
      <c r="D100" s="4"/>
    </row>
    <row r="101" spans="2:4" outlineLevel="1" x14ac:dyDescent="0.25">
      <c r="B101" t="s">
        <v>73</v>
      </c>
      <c r="C101" s="21"/>
      <c r="D101" s="4"/>
    </row>
    <row r="102" spans="2:4" outlineLevel="1" x14ac:dyDescent="0.25">
      <c r="B102" t="s">
        <v>74</v>
      </c>
      <c r="C102" s="21"/>
      <c r="D102" s="4"/>
    </row>
    <row r="103" spans="2:4" outlineLevel="1" x14ac:dyDescent="0.25">
      <c r="B103" t="s">
        <v>75</v>
      </c>
      <c r="C103" s="21"/>
      <c r="D103" s="4"/>
    </row>
    <row r="104" spans="2:4" outlineLevel="1" x14ac:dyDescent="0.25">
      <c r="B104" t="s">
        <v>76</v>
      </c>
      <c r="C104" s="21"/>
      <c r="D104" s="4"/>
    </row>
    <row r="105" spans="2:4" outlineLevel="1" x14ac:dyDescent="0.25">
      <c r="B105" t="s">
        <v>38</v>
      </c>
      <c r="C105" s="21"/>
      <c r="D105" s="4"/>
    </row>
    <row r="106" spans="2:4" outlineLevel="1" x14ac:dyDescent="0.25">
      <c r="B106" s="16"/>
      <c r="C106" s="19"/>
      <c r="D106" s="20"/>
    </row>
    <row r="107" spans="2:4" outlineLevel="1" x14ac:dyDescent="0.25">
      <c r="C107" s="8"/>
      <c r="D107" s="4"/>
    </row>
    <row r="108" spans="2:4" outlineLevel="1" x14ac:dyDescent="0.25">
      <c r="B108" s="16" t="s">
        <v>65</v>
      </c>
      <c r="C108" s="19">
        <f>SUM(C109:C119)</f>
        <v>63000</v>
      </c>
      <c r="D108" s="20">
        <f>C108/$C$85</f>
        <v>6.0987415295256538E-2</v>
      </c>
    </row>
    <row r="109" spans="2:4" outlineLevel="1" x14ac:dyDescent="0.25">
      <c r="B109" t="s">
        <v>77</v>
      </c>
      <c r="C109" s="21">
        <v>23000</v>
      </c>
      <c r="D109" s="4"/>
    </row>
    <row r="110" spans="2:4" outlineLevel="1" x14ac:dyDescent="0.25">
      <c r="B110" t="s">
        <v>78</v>
      </c>
      <c r="C110" s="21">
        <v>12000</v>
      </c>
      <c r="D110" s="4"/>
    </row>
    <row r="111" spans="2:4" outlineLevel="1" x14ac:dyDescent="0.25">
      <c r="B111" t="s">
        <v>79</v>
      </c>
      <c r="C111" s="21">
        <v>20000</v>
      </c>
      <c r="D111" s="4"/>
    </row>
    <row r="112" spans="2:4" outlineLevel="1" x14ac:dyDescent="0.25">
      <c r="B112" t="s">
        <v>66</v>
      </c>
      <c r="C112" s="21">
        <v>8000</v>
      </c>
      <c r="D112" s="4"/>
    </row>
    <row r="113" spans="1:4" outlineLevel="1" x14ac:dyDescent="0.25">
      <c r="B113" t="s">
        <v>80</v>
      </c>
      <c r="C113" s="21"/>
      <c r="D113" s="4"/>
    </row>
    <row r="114" spans="1:4" outlineLevel="1" x14ac:dyDescent="0.25">
      <c r="B114" t="s">
        <v>80</v>
      </c>
      <c r="C114" s="21"/>
      <c r="D114" s="4"/>
    </row>
    <row r="115" spans="1:4" outlineLevel="1" x14ac:dyDescent="0.25">
      <c r="B115" t="s">
        <v>80</v>
      </c>
      <c r="C115" s="21"/>
      <c r="D115" s="4"/>
    </row>
    <row r="116" spans="1:4" outlineLevel="1" x14ac:dyDescent="0.25">
      <c r="B116" t="s">
        <v>80</v>
      </c>
      <c r="C116" s="21"/>
      <c r="D116" s="4"/>
    </row>
    <row r="117" spans="1:4" outlineLevel="1" x14ac:dyDescent="0.25">
      <c r="B117" t="s">
        <v>80</v>
      </c>
      <c r="C117" s="21"/>
      <c r="D117" s="4"/>
    </row>
    <row r="118" spans="1:4" outlineLevel="1" x14ac:dyDescent="0.25">
      <c r="B118" t="s">
        <v>80</v>
      </c>
      <c r="C118" s="21"/>
      <c r="D118" s="4"/>
    </row>
    <row r="119" spans="1:4" outlineLevel="1" x14ac:dyDescent="0.25">
      <c r="B119" t="s">
        <v>80</v>
      </c>
      <c r="C119" s="21"/>
      <c r="D119" s="4"/>
    </row>
    <row r="121" spans="1:4" x14ac:dyDescent="0.25">
      <c r="A121" s="22" t="s">
        <v>84</v>
      </c>
      <c r="B121" s="9" t="s">
        <v>41</v>
      </c>
    </row>
    <row r="122" spans="1:4" outlineLevel="1" x14ac:dyDescent="0.25">
      <c r="A122" s="24" t="s">
        <v>85</v>
      </c>
      <c r="B122" s="10" t="str">
        <f>B30</f>
        <v>Montagem do canteiro de obras</v>
      </c>
    </row>
    <row r="123" spans="1:4" outlineLevel="1" x14ac:dyDescent="0.25">
      <c r="A123" s="24" t="s">
        <v>85</v>
      </c>
      <c r="B123" s="10" t="str">
        <f t="shared" ref="B123:B144" si="1">B31</f>
        <v>Demolições</v>
      </c>
    </row>
    <row r="124" spans="1:4" outlineLevel="1" x14ac:dyDescent="0.25">
      <c r="A124" s="24" t="s">
        <v>85</v>
      </c>
      <c r="B124" s="10" t="str">
        <f t="shared" si="1"/>
        <v>Terraplanagem</v>
      </c>
    </row>
    <row r="125" spans="1:4" outlineLevel="1" x14ac:dyDescent="0.25">
      <c r="A125" s="24" t="s">
        <v>85</v>
      </c>
      <c r="B125" s="10" t="str">
        <f t="shared" si="1"/>
        <v>Fundações</v>
      </c>
    </row>
    <row r="126" spans="1:4" outlineLevel="1" x14ac:dyDescent="0.25">
      <c r="A126" s="24" t="s">
        <v>85</v>
      </c>
      <c r="B126" s="10" t="str">
        <f t="shared" si="1"/>
        <v>Estrutura</v>
      </c>
    </row>
    <row r="127" spans="1:4" outlineLevel="1" x14ac:dyDescent="0.25">
      <c r="A127" s="24" t="s">
        <v>85</v>
      </c>
      <c r="B127" s="10" t="str">
        <f t="shared" si="1"/>
        <v>Alvenarias</v>
      </c>
    </row>
    <row r="128" spans="1:4" outlineLevel="1" x14ac:dyDescent="0.25">
      <c r="A128" s="24" t="s">
        <v>85</v>
      </c>
      <c r="B128" s="10" t="str">
        <f t="shared" si="1"/>
        <v>Cobertura</v>
      </c>
    </row>
    <row r="129" spans="1:2" outlineLevel="1" x14ac:dyDescent="0.25">
      <c r="A129" s="24" t="s">
        <v>85</v>
      </c>
      <c r="B129" s="10" t="str">
        <f t="shared" si="1"/>
        <v>Instalações elétricas e rede</v>
      </c>
    </row>
    <row r="130" spans="1:2" outlineLevel="1" x14ac:dyDescent="0.25">
      <c r="A130" s="24" t="s">
        <v>85</v>
      </c>
      <c r="B130" s="10" t="str">
        <f t="shared" si="1"/>
        <v>Instalações hidrossanitárias</v>
      </c>
    </row>
    <row r="131" spans="1:2" outlineLevel="1" x14ac:dyDescent="0.25">
      <c r="A131" s="24" t="s">
        <v>85</v>
      </c>
      <c r="B131" s="10" t="str">
        <f t="shared" si="1"/>
        <v>Instalações de ar condicionado</v>
      </c>
    </row>
    <row r="132" spans="1:2" outlineLevel="1" x14ac:dyDescent="0.25">
      <c r="A132" s="24" t="s">
        <v>85</v>
      </c>
      <c r="B132" s="10" t="str">
        <f t="shared" si="1"/>
        <v>Rebocos e contrapisos</v>
      </c>
    </row>
    <row r="133" spans="1:2" outlineLevel="1" x14ac:dyDescent="0.25">
      <c r="A133" s="24" t="s">
        <v>85</v>
      </c>
      <c r="B133" s="10" t="str">
        <f t="shared" si="1"/>
        <v>Impermeabilizações</v>
      </c>
    </row>
    <row r="134" spans="1:2" outlineLevel="1" x14ac:dyDescent="0.25">
      <c r="A134" s="24" t="s">
        <v>85</v>
      </c>
      <c r="B134" s="10" t="str">
        <f t="shared" si="1"/>
        <v>Revestimentos de piso</v>
      </c>
    </row>
    <row r="135" spans="1:2" outlineLevel="1" x14ac:dyDescent="0.25">
      <c r="A135" s="24" t="s">
        <v>85</v>
      </c>
      <c r="B135" s="10" t="str">
        <f t="shared" si="1"/>
        <v>Revestimentos de parede</v>
      </c>
    </row>
    <row r="136" spans="1:2" outlineLevel="1" x14ac:dyDescent="0.25">
      <c r="A136" s="24" t="s">
        <v>85</v>
      </c>
      <c r="B136" s="10" t="str">
        <f t="shared" si="1"/>
        <v>Revestimentos de teto</v>
      </c>
    </row>
    <row r="137" spans="1:2" outlineLevel="1" x14ac:dyDescent="0.25">
      <c r="A137" s="24" t="s">
        <v>85</v>
      </c>
      <c r="B137" s="10" t="str">
        <f t="shared" si="1"/>
        <v>Fachadas</v>
      </c>
    </row>
    <row r="138" spans="1:2" outlineLevel="1" x14ac:dyDescent="0.25">
      <c r="A138" s="24" t="s">
        <v>85</v>
      </c>
      <c r="B138" s="10" t="str">
        <f t="shared" si="1"/>
        <v>Esquadrias (janelas)</v>
      </c>
    </row>
    <row r="139" spans="1:2" outlineLevel="1" x14ac:dyDescent="0.25">
      <c r="A139" s="24" t="s">
        <v>85</v>
      </c>
      <c r="B139" s="10" t="str">
        <f t="shared" si="1"/>
        <v>Esquadrias (portas)</v>
      </c>
    </row>
    <row r="140" spans="1:2" outlineLevel="1" x14ac:dyDescent="0.25">
      <c r="A140" s="24" t="s">
        <v>85</v>
      </c>
      <c r="B140" s="10" t="str">
        <f t="shared" si="1"/>
        <v>Acabamentos de granito</v>
      </c>
    </row>
    <row r="141" spans="1:2" outlineLevel="1" x14ac:dyDescent="0.25">
      <c r="A141" s="24" t="s">
        <v>85</v>
      </c>
      <c r="B141" s="10" t="str">
        <f t="shared" si="1"/>
        <v>Acabamentos elétricos e luminárias</v>
      </c>
    </row>
    <row r="142" spans="1:2" outlineLevel="1" x14ac:dyDescent="0.25">
      <c r="A142" s="24" t="s">
        <v>85</v>
      </c>
      <c r="B142" s="10" t="str">
        <f t="shared" si="1"/>
        <v>Louças e metais sanitários</v>
      </c>
    </row>
    <row r="143" spans="1:2" outlineLevel="1" x14ac:dyDescent="0.25">
      <c r="A143" s="24" t="s">
        <v>85</v>
      </c>
      <c r="B143" s="10" t="str">
        <f t="shared" si="1"/>
        <v>Pintura</v>
      </c>
    </row>
    <row r="144" spans="1:2" outlineLevel="1" x14ac:dyDescent="0.25">
      <c r="A144" s="24" t="s">
        <v>85</v>
      </c>
      <c r="B144" s="10" t="str">
        <f t="shared" si="1"/>
        <v>Limpez final de obra</v>
      </c>
    </row>
    <row r="145" spans="2:2" x14ac:dyDescent="0.25">
      <c r="B145" s="10"/>
    </row>
    <row r="146" spans="2:2" x14ac:dyDescent="0.25">
      <c r="B146" s="10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Proposta de valor</vt:lpstr>
      <vt:lpstr>Relatório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Geraldino Lopes</dc:creator>
  <cp:lastModifiedBy>Geraldino Lopes</cp:lastModifiedBy>
  <dcterms:created xsi:type="dcterms:W3CDTF">2026-06-13T22:18:59Z</dcterms:created>
  <dcterms:modified xsi:type="dcterms:W3CDTF">2026-06-30T23:49:35Z</dcterms:modified>
</cp:coreProperties>
</file>